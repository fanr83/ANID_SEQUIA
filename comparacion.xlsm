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Charm\ANID_SEQUIA\"/>
    </mc:Choice>
  </mc:AlternateContent>
  <xr:revisionPtr revIDLastSave="0" documentId="13_ncr:1_{8F8D698A-864A-423A-B33B-3264BA719CE5}" xr6:coauthVersionLast="47" xr6:coauthVersionMax="47" xr10:uidLastSave="{00000000-0000-0000-0000-000000000000}"/>
  <bookViews>
    <workbookView xWindow="1830" yWindow="1770" windowWidth="12150" windowHeight="11505" activeTab="1" xr2:uid="{48E6B22C-22BC-4FB0-9BA7-1E8E87F41D17}"/>
  </bookViews>
  <sheets>
    <sheet name="Hoja1 (2)" sheetId="2" r:id="rId1"/>
    <sheet name="Hoja1" sheetId="1" r:id="rId2"/>
  </sheets>
  <functionGroups builtInGroupCount="19"/>
  <definedNames>
    <definedName name="solver_adj" localSheetId="0" hidden="1">'Hoja1 (2)'!$F$13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'Hoja1 (2)'!$F$10</definedName>
    <definedName name="solver_lhs2" localSheetId="0" hidden="1">'Hoja1 (2)'!$F$11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'Hoja1 (2)'!$K$8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hs1" localSheetId="0" hidden="1">182</definedName>
    <definedName name="solver_rhs2" localSheetId="0" hidden="1">365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2" l="1"/>
  <c r="C32" i="2"/>
  <c r="C31" i="2"/>
  <c r="C30" i="2"/>
  <c r="C29" i="2"/>
  <c r="C28" i="2"/>
  <c r="C27" i="2"/>
  <c r="C26" i="2"/>
  <c r="C25" i="2"/>
  <c r="M24" i="2"/>
  <c r="N24" i="2" s="1"/>
  <c r="I24" i="2"/>
  <c r="H24" i="2"/>
  <c r="H25" i="2" s="1"/>
  <c r="C24" i="2"/>
  <c r="K24" i="2" s="1"/>
  <c r="N23" i="2"/>
  <c r="K23" i="2"/>
  <c r="I23" i="2"/>
  <c r="C23" i="2"/>
  <c r="N22" i="2"/>
  <c r="K22" i="2"/>
  <c r="I22" i="2"/>
  <c r="C22" i="2"/>
  <c r="G15" i="2"/>
  <c r="M12" i="2"/>
  <c r="M13" i="2" s="1"/>
  <c r="H12" i="2"/>
  <c r="I12" i="2" s="1"/>
  <c r="K12" i="2" s="1"/>
  <c r="N11" i="2"/>
  <c r="I11" i="2"/>
  <c r="K11" i="2" s="1"/>
  <c r="N10" i="2"/>
  <c r="K10" i="2"/>
  <c r="I10" i="2"/>
  <c r="I25" i="2" l="1"/>
  <c r="H26" i="2"/>
  <c r="K25" i="2"/>
  <c r="N13" i="2"/>
  <c r="M14" i="2"/>
  <c r="M25" i="2"/>
  <c r="N12" i="2"/>
  <c r="H13" i="2"/>
  <c r="I13" i="2" l="1"/>
  <c r="K13" i="2" s="1"/>
  <c r="H14" i="2"/>
  <c r="M26" i="2"/>
  <c r="N25" i="2"/>
  <c r="M15" i="2"/>
  <c r="N14" i="2"/>
  <c r="H27" i="2"/>
  <c r="I26" i="2"/>
  <c r="K26" i="2" s="1"/>
  <c r="M16" i="2" l="1"/>
  <c r="N15" i="2"/>
  <c r="M27" i="2"/>
  <c r="N26" i="2"/>
  <c r="H28" i="2"/>
  <c r="I27" i="2"/>
  <c r="K27" i="2" s="1"/>
  <c r="I14" i="2"/>
  <c r="K14" i="2" s="1"/>
  <c r="H15" i="2"/>
  <c r="H29" i="2" l="1"/>
  <c r="I28" i="2"/>
  <c r="K28" i="2" s="1"/>
  <c r="H16" i="2"/>
  <c r="I15" i="2"/>
  <c r="K15" i="2" s="1"/>
  <c r="N27" i="2"/>
  <c r="M28" i="2"/>
  <c r="M17" i="2"/>
  <c r="N16" i="2"/>
  <c r="N17" i="2" l="1"/>
  <c r="M18" i="2"/>
  <c r="M29" i="2"/>
  <c r="N28" i="2"/>
  <c r="H17" i="2"/>
  <c r="I16" i="2"/>
  <c r="K16" i="2" s="1"/>
  <c r="H30" i="2"/>
  <c r="I29" i="2"/>
  <c r="K29" i="2" s="1"/>
  <c r="H31" i="2" l="1"/>
  <c r="I30" i="2"/>
  <c r="K30" i="2" s="1"/>
  <c r="I17" i="2"/>
  <c r="K17" i="2" s="1"/>
  <c r="H18" i="2"/>
  <c r="M30" i="2"/>
  <c r="N29" i="2"/>
  <c r="M19" i="2"/>
  <c r="N18" i="2"/>
  <c r="M31" i="2" l="1"/>
  <c r="N30" i="2"/>
  <c r="I18" i="2"/>
  <c r="K18" i="2" s="1"/>
  <c r="H19" i="2"/>
  <c r="M20" i="2"/>
  <c r="N19" i="2"/>
  <c r="H32" i="2"/>
  <c r="I31" i="2"/>
  <c r="K31" i="2" s="1"/>
  <c r="M21" i="2" l="1"/>
  <c r="N21" i="2" s="1"/>
  <c r="N20" i="2"/>
  <c r="I19" i="2"/>
  <c r="K19" i="2" s="1"/>
  <c r="H20" i="2"/>
  <c r="H33" i="2"/>
  <c r="I33" i="2" s="1"/>
  <c r="K33" i="2" s="1"/>
  <c r="I32" i="2"/>
  <c r="K32" i="2" s="1"/>
  <c r="M32" i="2"/>
  <c r="N31" i="2"/>
  <c r="M33" i="2" l="1"/>
  <c r="N33" i="2" s="1"/>
  <c r="N32" i="2"/>
  <c r="H21" i="2"/>
  <c r="I21" i="2" s="1"/>
  <c r="K21" i="2" s="1"/>
  <c r="I20" i="2"/>
  <c r="K20" i="2" s="1"/>
  <c r="K8" i="2" s="1"/>
</calcChain>
</file>

<file path=xl/sharedStrings.xml><?xml version="1.0" encoding="utf-8"?>
<sst xmlns="http://schemas.openxmlformats.org/spreadsheetml/2006/main" count="53" uniqueCount="27">
  <si>
    <t>TN</t>
  </si>
  <si>
    <t>TX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</si>
  <si>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</si>
  <si>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</si>
  <si>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</si>
  <si>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</si>
  <si>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</si>
  <si>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</si>
  <si>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</si>
  <si>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</si>
  <si>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</si>
  <si>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</si>
  <si>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</si>
  <si>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</si>
  <si>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 xml:space="preserve"> TN = np.round([TnE - ((1 - np.sin(.0174533 * (70 + Dia))) * (TnE - TnJ) * .5) - .5 * ((np.sin(.0174533 * (Dia - 180)))) for Dia in Dias], 3)</t>
  </si>
  <si>
    <t>juliano</t>
  </si>
  <si>
    <t>TnE</t>
  </si>
  <si>
    <t>dia1</t>
  </si>
  <si>
    <t>dia2</t>
  </si>
  <si>
    <t>2pi/3</t>
  </si>
  <si>
    <t>TnJ</t>
  </si>
  <si>
    <t>ST(i)</t>
  </si>
  <si>
    <t>STT</t>
  </si>
  <si>
    <t>HF</t>
  </si>
  <si>
    <t>x</t>
  </si>
  <si>
    <t>HFG</t>
  </si>
  <si>
    <t>HFMAX6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</si>
</sst>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00"/>
  </numFmts>
  <fonts count="5" x14ac:knownFonts="1"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onsolas"/>
      <family val="3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0" borderId="0" xfId="0" quotePrefix="1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MODELO</c:v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'Hoja1 (2)'!$I$10:$I$33</c:f>
              <c:numCache>
                <c:formatCode>0.000</c:formatCode>
                <c:ptCount val="24"/>
                <c:pt idx="0">
                  <c:v>14.5</c:v>
                </c:pt>
                <c:pt idx="1">
                  <c:v>14.1</c:v>
                </c:pt>
                <c:pt idx="2">
                  <c:v>13.1</c:v>
                </c:pt>
                <c:pt idx="3">
                  <c:v>11.7</c:v>
                </c:pt>
                <c:pt idx="4">
                  <c:v>10.199999999999999</c:v>
                </c:pt>
                <c:pt idx="5">
                  <c:v>9</c:v>
                </c:pt>
                <c:pt idx="6">
                  <c:v>8.4</c:v>
                </c:pt>
                <c:pt idx="7">
                  <c:v>8.5</c:v>
                </c:pt>
                <c:pt idx="8">
                  <c:v>9.3000000000000007</c:v>
                </c:pt>
                <c:pt idx="9">
                  <c:v>10.7</c:v>
                </c:pt>
                <c:pt idx="10">
                  <c:v>12.2</c:v>
                </c:pt>
                <c:pt idx="11">
                  <c:v>13.5</c:v>
                </c:pt>
                <c:pt idx="12">
                  <c:v>14.5</c:v>
                </c:pt>
                <c:pt idx="13">
                  <c:v>14.1</c:v>
                </c:pt>
                <c:pt idx="14">
                  <c:v>13.1</c:v>
                </c:pt>
                <c:pt idx="15">
                  <c:v>11.7</c:v>
                </c:pt>
                <c:pt idx="16">
                  <c:v>10.199999999999999</c:v>
                </c:pt>
                <c:pt idx="17">
                  <c:v>9</c:v>
                </c:pt>
                <c:pt idx="18">
                  <c:v>8.4</c:v>
                </c:pt>
                <c:pt idx="19">
                  <c:v>8.5</c:v>
                </c:pt>
                <c:pt idx="20">
                  <c:v>9.3000000000000007</c:v>
                </c:pt>
                <c:pt idx="21">
                  <c:v>10.7</c:v>
                </c:pt>
                <c:pt idx="22">
                  <c:v>12.2</c:v>
                </c:pt>
                <c:pt idx="23">
                  <c:v>13.5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E5-4978-B683-940195FE7AE3}"/>
            </c:ext>
          </c:extLst>
        </c:ser>
        <c:ser>
          <c:idx val="1"/>
          <c:order val="1"/>
          <c:tx>
            <c:v>ORIGINAL</c:v>
          </c:tx>
          <c:spPr>
            <a:ln w="25400" cap="rnd" cmpd="sng">
              <a:solidFill>
                <a:srgbClr val="FF0000">
                  <a:alpha val="8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'Hoja1 (2)'!$C$10:$C$33</c:f>
              <c:numCache>
                <c:formatCode>General</c:formatCode>
                <c:ptCount val="24"/>
                <c:pt idx="0">
                  <c:v>14.7</c:v>
                </c:pt>
                <c:pt idx="1">
                  <c:v>14.5</c:v>
                </c:pt>
                <c:pt idx="2">
                  <c:v>13.1</c:v>
                </c:pt>
                <c:pt idx="3">
                  <c:v>11.2</c:v>
                </c:pt>
                <c:pt idx="4">
                  <c:v>9.8000000000000007</c:v>
                </c:pt>
                <c:pt idx="5">
                  <c:v>8.4</c:v>
                </c:pt>
                <c:pt idx="6">
                  <c:v>8.1</c:v>
                </c:pt>
                <c:pt idx="7">
                  <c:v>8.6</c:v>
                </c:pt>
                <c:pt idx="8">
                  <c:v>9.4</c:v>
                </c:pt>
                <c:pt idx="9">
                  <c:v>10</c:v>
                </c:pt>
                <c:pt idx="10">
                  <c:v>11.5</c:v>
                </c:pt>
                <c:pt idx="11">
                  <c:v>13</c:v>
                </c:pt>
                <c:pt idx="12">
                  <c:v>14.7</c:v>
                </c:pt>
                <c:pt idx="13">
                  <c:v>14.5</c:v>
                </c:pt>
                <c:pt idx="14">
                  <c:v>13.1</c:v>
                </c:pt>
                <c:pt idx="15">
                  <c:v>11.2</c:v>
                </c:pt>
                <c:pt idx="16">
                  <c:v>9.8000000000000007</c:v>
                </c:pt>
                <c:pt idx="17">
                  <c:v>8.4</c:v>
                </c:pt>
                <c:pt idx="18">
                  <c:v>8.1</c:v>
                </c:pt>
                <c:pt idx="19">
                  <c:v>8.6</c:v>
                </c:pt>
                <c:pt idx="20">
                  <c:v>9.4</c:v>
                </c:pt>
                <c:pt idx="21">
                  <c:v>10</c:v>
                </c:pt>
                <c:pt idx="22">
                  <c:v>11.5</c:v>
                </c:pt>
                <c:pt idx="23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3E5-4978-B683-940195FE7AE3}"/>
            </c:ext>
          </c:extLst>
        </c:ser>
        <c:ser>
          <c:idx val="2"/>
          <c:order val="2"/>
          <c:tx>
            <c:v>MODELO1</c:v>
          </c:tx>
          <c:spPr>
            <a:ln w="25400" cap="rnd">
              <a:solidFill>
                <a:schemeClr val="accent6">
                  <a:alpha val="8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'Hoja1 (2)'!$N$10:$N$33</c:f>
              <c:numCache>
                <c:formatCode>0.000</c:formatCode>
                <c:ptCount val="24"/>
                <c:pt idx="0">
                  <c:v>14.558033760094617</c:v>
                </c:pt>
                <c:pt idx="1">
                  <c:v>14.037261463969015</c:v>
                </c:pt>
                <c:pt idx="2">
                  <c:v>12.809836496537121</c:v>
                </c:pt>
                <c:pt idx="3">
                  <c:v>11.204646662028413</c:v>
                </c:pt>
                <c:pt idx="4">
                  <c:v>9.6518016405055462</c:v>
                </c:pt>
                <c:pt idx="5">
                  <c:v>8.5673853499173944</c:v>
                </c:pt>
                <c:pt idx="6">
                  <c:v>8.2419665029311098</c:v>
                </c:pt>
                <c:pt idx="7">
                  <c:v>8.7627408898230996</c:v>
                </c:pt>
                <c:pt idx="8">
                  <c:v>9.9901673173241541</c:v>
                </c:pt>
                <c:pt idx="9">
                  <c:v>11.59535758998012</c:v>
                </c:pt>
                <c:pt idx="10">
                  <c:v>13.148201910327037</c:v>
                </c:pt>
                <c:pt idx="11">
                  <c:v>14.23261654829572</c:v>
                </c:pt>
                <c:pt idx="12">
                  <c:v>14.558033760094617</c:v>
                </c:pt>
                <c:pt idx="13">
                  <c:v>14.037261463969015</c:v>
                </c:pt>
                <c:pt idx="14">
                  <c:v>12.809836496537121</c:v>
                </c:pt>
                <c:pt idx="15">
                  <c:v>11.204646662028413</c:v>
                </c:pt>
                <c:pt idx="16">
                  <c:v>9.6518016405055462</c:v>
                </c:pt>
                <c:pt idx="17">
                  <c:v>8.5673853499173944</c:v>
                </c:pt>
                <c:pt idx="18">
                  <c:v>8.2419665029311098</c:v>
                </c:pt>
                <c:pt idx="19">
                  <c:v>8.7627408898230996</c:v>
                </c:pt>
                <c:pt idx="20">
                  <c:v>9.9901673173241541</c:v>
                </c:pt>
                <c:pt idx="21">
                  <c:v>11.59535758998012</c:v>
                </c:pt>
                <c:pt idx="22">
                  <c:v>13.148201910327037</c:v>
                </c:pt>
                <c:pt idx="23">
                  <c:v>14.23261654829572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E5-4978-B683-940195FE7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959952"/>
        <c:axId val="1484221248"/>
      </c:lineChart>
      <c:catAx>
        <c:axId val="154795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84221248"/>
        <c:crosses val="autoZero"/>
        <c:auto val="1"/>
        <c:lblAlgn val="ctr"/>
        <c:lblOffset val="100"/>
        <c:noMultiLvlLbl val="0"/>
      </c:catAx>
      <c:valAx>
        <c:axId val="148422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54795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757236</xdr:colOff>
      <xdr:row>3</xdr:row>
      <xdr:rowOff>66675</xdr:rowOff>
    </xdr:from>
    <xdr:to>
      <xdr:col>19</xdr:col>
      <xdr:colOff>209549</xdr:colOff>
      <xdr:row>35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C0C173E-9CE5-4F54-ACFC-45F4C72037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E81F-8029-459D-A552-86E2D41A2F41}">
  <sheetPr codeName="Hoja2"/>
  <dimension ref="A4:N33"/>
  <sheetViews>
    <sheetView workbookViewId="0">
      <selection activeCell="F48" sqref="F48"/>
    </sheetView>
  </sheetViews>
  <sheetFormatPr baseColWidth="10" defaultRowHeight="11.25" x14ac:dyDescent="0.2"/>
  <cols>
    <col min="2" max="2" width="3.83203125" bestFit="1" customWidth="1"/>
    <col min="3" max="3" width="32.1640625" customWidth="1"/>
    <col min="6" max="6" width="12.1640625" bestFit="1" customWidth="1"/>
    <col min="7" max="7" width="11.5" customWidth="1"/>
    <col min="9" max="9" width="7.1640625" bestFit="1" customWidth="1"/>
    <col min="11" max="11" width="13.6640625" bestFit="1" customWidth="1"/>
  </cols>
  <sheetData>
    <row r="4" spans="1:14" x14ac:dyDescent="0.2">
      <c r="C4" t="s">
        <v>14</v>
      </c>
    </row>
    <row r="6" spans="1:14" x14ac:dyDescent="0.2">
      <c r="M6">
        <v>1.7453300000000001E-2</v>
      </c>
    </row>
    <row r="8" spans="1:14" x14ac:dyDescent="0.2">
      <c r="K8" s="4">
        <f>SUM(K10:K33)</f>
        <v>4.619999999999993</v>
      </c>
    </row>
    <row r="9" spans="1:14" x14ac:dyDescent="0.2">
      <c r="H9" t="s">
        <v>15</v>
      </c>
    </row>
    <row r="10" spans="1:14" x14ac:dyDescent="0.2">
      <c r="A10">
        <v>1</v>
      </c>
      <c r="B10" t="s">
        <v>16</v>
      </c>
      <c r="C10" s="5">
        <v>14.7</v>
      </c>
      <c r="E10" t="s">
        <v>17</v>
      </c>
      <c r="F10">
        <v>70</v>
      </c>
      <c r="H10">
        <v>15</v>
      </c>
      <c r="I10" s="4">
        <f>ROUND($C$10-((1-SIN($F$13*($F$10+H10)))*(($C$10-$C$16)*0.5)-0.5*(SIN($F$13*(H10-$F$11)))),1)</f>
        <v>14.5</v>
      </c>
      <c r="J10" s="4"/>
      <c r="K10" s="4">
        <f>(C10-I10)^2</f>
        <v>3.9999999999999716E-2</v>
      </c>
      <c r="M10">
        <v>15</v>
      </c>
      <c r="N10" s="4">
        <f>$C$10-((1-SIN($M$6*($F$10+M10)))*(($C$10-$C$16)*0.5)-0.5*(SIN($M$6*(M10-$F$11))))</f>
        <v>14.558033760094617</v>
      </c>
    </row>
    <row r="11" spans="1:14" x14ac:dyDescent="0.2">
      <c r="A11">
        <v>2</v>
      </c>
      <c r="C11" s="5">
        <v>14.5</v>
      </c>
      <c r="E11" t="s">
        <v>18</v>
      </c>
      <c r="F11">
        <v>180</v>
      </c>
      <c r="H11">
        <v>45</v>
      </c>
      <c r="I11" s="4">
        <f t="shared" ref="I11:I33" si="0">ROUND($C$10-((1-SIN($F$13*($F$10+H11)))*(($C$10-$C$16)*0.5)-0.5*(SIN($F$13*(H11-$F$11)))),1)</f>
        <v>14.1</v>
      </c>
      <c r="J11" s="4"/>
      <c r="K11" s="4">
        <f t="shared" ref="K11:K33" si="1">(C11-I11)^2</f>
        <v>0.16000000000000028</v>
      </c>
      <c r="M11">
        <v>45</v>
      </c>
      <c r="N11" s="4">
        <f t="shared" ref="N11:N33" si="2">$C$10-((1-SIN($M$6*($F$10+M11)))*(($C$10-$C$16)*0.5)-0.5*(SIN($M$6*(M11-$F$11))))</f>
        <v>14.037261463969015</v>
      </c>
    </row>
    <row r="12" spans="1:14" x14ac:dyDescent="0.2">
      <c r="A12">
        <v>3</v>
      </c>
      <c r="C12" s="5">
        <v>13.1</v>
      </c>
      <c r="H12">
        <f t="shared" ref="H12:H21" si="3">H11+30</f>
        <v>75</v>
      </c>
      <c r="I12" s="4">
        <f t="shared" si="0"/>
        <v>13.1</v>
      </c>
      <c r="J12" s="4"/>
      <c r="K12" s="4">
        <f t="shared" si="1"/>
        <v>0</v>
      </c>
      <c r="M12">
        <f t="shared" ref="M12:M21" si="4">M11+30</f>
        <v>75</v>
      </c>
      <c r="N12" s="4">
        <f t="shared" si="2"/>
        <v>12.809836496537121</v>
      </c>
    </row>
    <row r="13" spans="1:14" x14ac:dyDescent="0.2">
      <c r="A13">
        <v>4</v>
      </c>
      <c r="C13" s="5">
        <v>11.2</v>
      </c>
      <c r="E13" t="s">
        <v>19</v>
      </c>
      <c r="F13">
        <v>1.6620920451066952E-2</v>
      </c>
      <c r="H13">
        <f t="shared" si="3"/>
        <v>105</v>
      </c>
      <c r="I13" s="4">
        <f t="shared" si="0"/>
        <v>11.7</v>
      </c>
      <c r="J13" s="4"/>
      <c r="K13" s="4">
        <f t="shared" si="1"/>
        <v>0.25</v>
      </c>
      <c r="M13">
        <f t="shared" si="4"/>
        <v>105</v>
      </c>
      <c r="N13" s="4">
        <f t="shared" si="2"/>
        <v>11.204646662028413</v>
      </c>
    </row>
    <row r="14" spans="1:14" x14ac:dyDescent="0.2">
      <c r="A14">
        <v>5</v>
      </c>
      <c r="C14" s="5">
        <v>9.8000000000000007</v>
      </c>
      <c r="H14">
        <f t="shared" si="3"/>
        <v>135</v>
      </c>
      <c r="I14" s="4">
        <f t="shared" si="0"/>
        <v>10.199999999999999</v>
      </c>
      <c r="J14" s="4"/>
      <c r="K14" s="4">
        <f t="shared" si="1"/>
        <v>0.15999999999999887</v>
      </c>
      <c r="M14">
        <f t="shared" si="4"/>
        <v>135</v>
      </c>
      <c r="N14" s="4">
        <f t="shared" si="2"/>
        <v>9.6518016405055462</v>
      </c>
    </row>
    <row r="15" spans="1:14" x14ac:dyDescent="0.2">
      <c r="A15">
        <v>6</v>
      </c>
      <c r="C15" s="5">
        <v>8.4</v>
      </c>
      <c r="F15">
        <v>1.6883752167255725E-2</v>
      </c>
      <c r="G15">
        <f>AVERAGE(F15:F45)</f>
        <v>1.6620920451066952E-2</v>
      </c>
      <c r="H15">
        <f t="shared" si="3"/>
        <v>165</v>
      </c>
      <c r="I15" s="4">
        <f t="shared" si="0"/>
        <v>9</v>
      </c>
      <c r="J15" s="4"/>
      <c r="K15" s="4">
        <f t="shared" si="1"/>
        <v>0.3599999999999996</v>
      </c>
      <c r="M15">
        <f t="shared" si="4"/>
        <v>165</v>
      </c>
      <c r="N15" s="4">
        <f t="shared" si="2"/>
        <v>8.5673853499173944</v>
      </c>
    </row>
    <row r="16" spans="1:14" x14ac:dyDescent="0.2">
      <c r="A16">
        <v>7</v>
      </c>
      <c r="B16" t="s">
        <v>20</v>
      </c>
      <c r="C16" s="5">
        <v>8.1</v>
      </c>
      <c r="F16">
        <v>1.6879975111592487E-2</v>
      </c>
      <c r="H16">
        <f t="shared" si="3"/>
        <v>195</v>
      </c>
      <c r="I16" s="4">
        <f t="shared" si="0"/>
        <v>8.4</v>
      </c>
      <c r="J16" s="4"/>
      <c r="K16" s="4">
        <f t="shared" si="1"/>
        <v>9.0000000000000427E-2</v>
      </c>
      <c r="M16">
        <f t="shared" si="4"/>
        <v>195</v>
      </c>
      <c r="N16" s="4">
        <f t="shared" si="2"/>
        <v>8.2419665029311098</v>
      </c>
    </row>
    <row r="17" spans="1:14" x14ac:dyDescent="0.2">
      <c r="A17">
        <v>8</v>
      </c>
      <c r="C17" s="5">
        <v>8.6</v>
      </c>
      <c r="F17">
        <v>1.638149870268206E-2</v>
      </c>
      <c r="H17">
        <f t="shared" si="3"/>
        <v>225</v>
      </c>
      <c r="I17" s="4">
        <f t="shared" si="0"/>
        <v>8.5</v>
      </c>
      <c r="J17" s="4"/>
      <c r="K17" s="4">
        <f t="shared" si="1"/>
        <v>9.9999999999999291E-3</v>
      </c>
      <c r="M17">
        <f t="shared" si="4"/>
        <v>225</v>
      </c>
      <c r="N17" s="4">
        <f t="shared" si="2"/>
        <v>8.7627408898230996</v>
      </c>
    </row>
    <row r="18" spans="1:14" x14ac:dyDescent="0.2">
      <c r="A18">
        <v>9</v>
      </c>
      <c r="C18" s="5">
        <v>9.4</v>
      </c>
      <c r="F18">
        <v>1.6521280025528592E-2</v>
      </c>
      <c r="H18">
        <f t="shared" si="3"/>
        <v>255</v>
      </c>
      <c r="I18" s="4">
        <f t="shared" si="0"/>
        <v>9.3000000000000007</v>
      </c>
      <c r="J18" s="4"/>
      <c r="K18" s="4">
        <f t="shared" si="1"/>
        <v>9.9999999999999291E-3</v>
      </c>
      <c r="M18">
        <f t="shared" si="4"/>
        <v>255</v>
      </c>
      <c r="N18" s="4">
        <f t="shared" si="2"/>
        <v>9.9901673173241541</v>
      </c>
    </row>
    <row r="19" spans="1:14" x14ac:dyDescent="0.2">
      <c r="A19">
        <v>10</v>
      </c>
      <c r="C19" s="5">
        <v>10</v>
      </c>
      <c r="F19">
        <v>1.6438096248275892E-2</v>
      </c>
      <c r="H19">
        <f t="shared" si="3"/>
        <v>285</v>
      </c>
      <c r="I19" s="4">
        <f t="shared" si="0"/>
        <v>10.7</v>
      </c>
      <c r="J19" s="4"/>
      <c r="K19" s="4">
        <f t="shared" si="1"/>
        <v>0.48999999999999899</v>
      </c>
      <c r="M19">
        <f t="shared" si="4"/>
        <v>285</v>
      </c>
      <c r="N19" s="4">
        <f t="shared" si="2"/>
        <v>11.59535758998012</v>
      </c>
    </row>
    <row r="20" spans="1:14" x14ac:dyDescent="0.2">
      <c r="A20">
        <v>11</v>
      </c>
      <c r="C20" s="5">
        <v>11.5</v>
      </c>
      <c r="H20">
        <f t="shared" si="3"/>
        <v>315</v>
      </c>
      <c r="I20" s="4">
        <f t="shared" si="0"/>
        <v>12.2</v>
      </c>
      <c r="J20" s="4"/>
      <c r="K20" s="4">
        <f t="shared" si="1"/>
        <v>0.48999999999999899</v>
      </c>
      <c r="M20">
        <f t="shared" si="4"/>
        <v>315</v>
      </c>
      <c r="N20" s="4">
        <f t="shared" si="2"/>
        <v>13.148201910327037</v>
      </c>
    </row>
    <row r="21" spans="1:14" x14ac:dyDescent="0.2">
      <c r="A21">
        <v>12</v>
      </c>
      <c r="C21" s="5">
        <v>13</v>
      </c>
      <c r="H21">
        <f t="shared" si="3"/>
        <v>345</v>
      </c>
      <c r="I21" s="4">
        <f t="shared" si="0"/>
        <v>13.5</v>
      </c>
      <c r="J21" s="4"/>
      <c r="K21" s="4">
        <f t="shared" si="1"/>
        <v>0.25</v>
      </c>
      <c r="M21">
        <f t="shared" si="4"/>
        <v>345</v>
      </c>
      <c r="N21" s="4">
        <f t="shared" si="2"/>
        <v>14.23261654829572</v>
      </c>
    </row>
    <row r="22" spans="1:14" x14ac:dyDescent="0.2">
      <c r="A22">
        <v>1</v>
      </c>
      <c r="C22">
        <f>C10</f>
        <v>14.7</v>
      </c>
      <c r="H22">
        <v>15</v>
      </c>
      <c r="I22" s="4">
        <f t="shared" si="0"/>
        <v>14.5</v>
      </c>
      <c r="J22" s="4"/>
      <c r="K22" s="4">
        <f t="shared" si="1"/>
        <v>3.9999999999999716E-2</v>
      </c>
      <c r="M22">
        <v>15</v>
      </c>
      <c r="N22" s="4">
        <f t="shared" si="2"/>
        <v>14.558033760094617</v>
      </c>
    </row>
    <row r="23" spans="1:14" x14ac:dyDescent="0.2">
      <c r="A23">
        <v>2</v>
      </c>
      <c r="C23">
        <f t="shared" ref="C23:C33" si="5">C11</f>
        <v>14.5</v>
      </c>
      <c r="H23">
        <v>45</v>
      </c>
      <c r="I23" s="4">
        <f t="shared" si="0"/>
        <v>14.1</v>
      </c>
      <c r="J23" s="4"/>
      <c r="K23" s="4">
        <f t="shared" si="1"/>
        <v>0.16000000000000028</v>
      </c>
      <c r="M23">
        <v>45</v>
      </c>
      <c r="N23" s="4">
        <f t="shared" si="2"/>
        <v>14.037261463969015</v>
      </c>
    </row>
    <row r="24" spans="1:14" x14ac:dyDescent="0.2">
      <c r="A24">
        <v>3</v>
      </c>
      <c r="C24">
        <f t="shared" si="5"/>
        <v>13.1</v>
      </c>
      <c r="H24">
        <f t="shared" ref="H24:H33" si="6">H23+30</f>
        <v>75</v>
      </c>
      <c r="I24" s="4">
        <f t="shared" si="0"/>
        <v>13.1</v>
      </c>
      <c r="K24" s="4">
        <f t="shared" si="1"/>
        <v>0</v>
      </c>
      <c r="M24">
        <f t="shared" ref="M24:M33" si="7">M23+30</f>
        <v>75</v>
      </c>
      <c r="N24" s="4">
        <f t="shared" si="2"/>
        <v>12.809836496537121</v>
      </c>
    </row>
    <row r="25" spans="1:14" x14ac:dyDescent="0.2">
      <c r="A25">
        <v>4</v>
      </c>
      <c r="C25">
        <f t="shared" si="5"/>
        <v>11.2</v>
      </c>
      <c r="H25">
        <f t="shared" si="6"/>
        <v>105</v>
      </c>
      <c r="I25" s="4">
        <f t="shared" si="0"/>
        <v>11.7</v>
      </c>
      <c r="K25" s="4">
        <f t="shared" si="1"/>
        <v>0.25</v>
      </c>
      <c r="M25">
        <f t="shared" si="7"/>
        <v>105</v>
      </c>
      <c r="N25" s="4">
        <f t="shared" si="2"/>
        <v>11.204646662028413</v>
      </c>
    </row>
    <row r="26" spans="1:14" x14ac:dyDescent="0.2">
      <c r="A26">
        <v>5</v>
      </c>
      <c r="C26">
        <f t="shared" si="5"/>
        <v>9.8000000000000007</v>
      </c>
      <c r="H26">
        <f t="shared" si="6"/>
        <v>135</v>
      </c>
      <c r="I26" s="4">
        <f t="shared" si="0"/>
        <v>10.199999999999999</v>
      </c>
      <c r="K26" s="4">
        <f t="shared" si="1"/>
        <v>0.15999999999999887</v>
      </c>
      <c r="M26">
        <f t="shared" si="7"/>
        <v>135</v>
      </c>
      <c r="N26" s="4">
        <f t="shared" si="2"/>
        <v>9.6518016405055462</v>
      </c>
    </row>
    <row r="27" spans="1:14" x14ac:dyDescent="0.2">
      <c r="A27">
        <v>6</v>
      </c>
      <c r="C27">
        <f t="shared" si="5"/>
        <v>8.4</v>
      </c>
      <c r="H27">
        <f t="shared" si="6"/>
        <v>165</v>
      </c>
      <c r="I27" s="4">
        <f t="shared" si="0"/>
        <v>9</v>
      </c>
      <c r="K27" s="4">
        <f t="shared" si="1"/>
        <v>0.3599999999999996</v>
      </c>
      <c r="M27">
        <f t="shared" si="7"/>
        <v>165</v>
      </c>
      <c r="N27" s="4">
        <f t="shared" si="2"/>
        <v>8.5673853499173944</v>
      </c>
    </row>
    <row r="28" spans="1:14" x14ac:dyDescent="0.2">
      <c r="A28">
        <v>7</v>
      </c>
      <c r="C28">
        <f t="shared" si="5"/>
        <v>8.1</v>
      </c>
      <c r="H28">
        <f t="shared" si="6"/>
        <v>195</v>
      </c>
      <c r="I28" s="4">
        <f t="shared" si="0"/>
        <v>8.4</v>
      </c>
      <c r="K28" s="4">
        <f t="shared" si="1"/>
        <v>9.0000000000000427E-2</v>
      </c>
      <c r="M28">
        <f t="shared" si="7"/>
        <v>195</v>
      </c>
      <c r="N28" s="4">
        <f t="shared" si="2"/>
        <v>8.2419665029311098</v>
      </c>
    </row>
    <row r="29" spans="1:14" x14ac:dyDescent="0.2">
      <c r="A29">
        <v>8</v>
      </c>
      <c r="C29">
        <f t="shared" si="5"/>
        <v>8.6</v>
      </c>
      <c r="H29">
        <f t="shared" si="6"/>
        <v>225</v>
      </c>
      <c r="I29" s="4">
        <f t="shared" si="0"/>
        <v>8.5</v>
      </c>
      <c r="K29" s="4">
        <f t="shared" si="1"/>
        <v>9.9999999999999291E-3</v>
      </c>
      <c r="M29">
        <f t="shared" si="7"/>
        <v>225</v>
      </c>
      <c r="N29" s="4">
        <f t="shared" si="2"/>
        <v>8.7627408898230996</v>
      </c>
    </row>
    <row r="30" spans="1:14" x14ac:dyDescent="0.2">
      <c r="A30">
        <v>9</v>
      </c>
      <c r="C30">
        <f t="shared" si="5"/>
        <v>9.4</v>
      </c>
      <c r="H30">
        <f t="shared" si="6"/>
        <v>255</v>
      </c>
      <c r="I30" s="4">
        <f t="shared" si="0"/>
        <v>9.3000000000000007</v>
      </c>
      <c r="K30" s="4">
        <f t="shared" si="1"/>
        <v>9.9999999999999291E-3</v>
      </c>
      <c r="M30">
        <f t="shared" si="7"/>
        <v>255</v>
      </c>
      <c r="N30" s="4">
        <f t="shared" si="2"/>
        <v>9.9901673173241541</v>
      </c>
    </row>
    <row r="31" spans="1:14" x14ac:dyDescent="0.2">
      <c r="A31">
        <v>10</v>
      </c>
      <c r="C31">
        <f t="shared" si="5"/>
        <v>10</v>
      </c>
      <c r="H31">
        <f t="shared" si="6"/>
        <v>285</v>
      </c>
      <c r="I31" s="4">
        <f t="shared" si="0"/>
        <v>10.7</v>
      </c>
      <c r="K31" s="4">
        <f t="shared" si="1"/>
        <v>0.48999999999999899</v>
      </c>
      <c r="M31">
        <f t="shared" si="7"/>
        <v>285</v>
      </c>
      <c r="N31" s="4">
        <f t="shared" si="2"/>
        <v>11.59535758998012</v>
      </c>
    </row>
    <row r="32" spans="1:14" x14ac:dyDescent="0.2">
      <c r="A32">
        <v>11</v>
      </c>
      <c r="C32">
        <f t="shared" si="5"/>
        <v>11.5</v>
      </c>
      <c r="H32">
        <f t="shared" si="6"/>
        <v>315</v>
      </c>
      <c r="I32" s="4">
        <f t="shared" si="0"/>
        <v>12.2</v>
      </c>
      <c r="K32" s="4">
        <f t="shared" si="1"/>
        <v>0.48999999999999899</v>
      </c>
      <c r="M32">
        <f t="shared" si="7"/>
        <v>315</v>
      </c>
      <c r="N32" s="4">
        <f t="shared" si="2"/>
        <v>13.148201910327037</v>
      </c>
    </row>
    <row r="33" spans="1:14" x14ac:dyDescent="0.2">
      <c r="A33">
        <v>12</v>
      </c>
      <c r="C33">
        <f t="shared" si="5"/>
        <v>13</v>
      </c>
      <c r="H33">
        <f t="shared" si="6"/>
        <v>345</v>
      </c>
      <c r="I33" s="4">
        <f t="shared" si="0"/>
        <v>13.5</v>
      </c>
      <c r="K33" s="4">
        <f t="shared" si="1"/>
        <v>0.25</v>
      </c>
      <c r="M33">
        <f t="shared" si="7"/>
        <v>345</v>
      </c>
      <c r="N33" s="4">
        <f t="shared" si="2"/>
        <v>14.23261654829572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990A6-ED5A-4821-8DCC-EA1276D66F94}">
  <sheetPr codeName="Hoja1"/>
  <dimension ref="A1:AB73"/>
  <sheetViews>
    <sheetView tabSelected="1" zoomScaleNormal="100" workbookViewId="0">
      <selection activeCell="C7" sqref="C7"/>
    </sheetView>
  </sheetViews>
  <sheetFormatPr baseColWidth="10" defaultColWidth="13.33203125" defaultRowHeight="11.25" x14ac:dyDescent="0.2"/>
  <cols>
    <col min="1" max="1" width="13.33203125" style="1"/>
    <col min="2" max="3" width="10.83203125" style="1" customWidth="1"/>
    <col min="4" max="4" width="57.33203125" style="1" bestFit="1" customWidth="1"/>
    <col min="5" max="13" width="10.83203125" style="1" customWidth="1"/>
    <col min="14" max="15" width="13.33203125" style="1"/>
    <col min="16" max="16" width="7.33203125" style="1" bestFit="1" customWidth="1"/>
    <col min="17" max="25" width="4.1640625" style="1" bestFit="1" customWidth="1"/>
    <col min="26" max="28" width="4.6640625" style="1" bestFit="1" customWidth="1"/>
    <col min="29" max="16384" width="13.33203125" style="1"/>
  </cols>
  <sheetData>
    <row r="1" spans="1:28" ht="12.75" x14ac:dyDescent="0.2">
      <c r="B1" s="3" t="s">
        <v>0</v>
      </c>
      <c r="C1" s="3" t="s">
        <v>1</v>
      </c>
      <c r="D1" s="3"/>
      <c r="E1" s="3" t="s">
        <v>21</v>
      </c>
      <c r="F1" s="3" t="s">
        <v>22</v>
      </c>
      <c r="H1" s="12" t="s">
        <v>23</v>
      </c>
      <c r="I1" s="11" t="s">
        <v>24</v>
      </c>
      <c r="J1" s="11" t="s">
        <v>25</v>
      </c>
      <c r="K1" s="11" t="s">
        <v>26</v>
      </c>
      <c r="O1" s="3" t="s">
        <v>0</v>
      </c>
      <c r="P1" s="3" t="s">
        <v>1</v>
      </c>
    </row>
    <row r="2" spans="1:28" x14ac:dyDescent="0.2">
      <c r="A2" s="3" t="s">
        <v>2</v>
      </c>
      <c r="B2" s="1">
        <v>14.730980000000001</v>
      </c>
      <c r="C2" s="1">
        <v>31.758459999999999</v>
      </c>
      <c r="D2" s="1">
        <v>23.244720000000001</v>
      </c>
      <c r="E2" s="2">
        <v>366</v>
      </c>
      <c r="F2" s="1">
        <v>366</v>
      </c>
      <c r="H2" s="2">
        <v>0</v>
      </c>
      <c r="J2" s="1">
        <v>0</v>
      </c>
      <c r="K2" s="1">
        <v>1.4692991278939327</v>
      </c>
      <c r="L2" s="1">
        <v>0</v>
      </c>
      <c r="O2" s="1">
        <v>5.6</v>
      </c>
      <c r="P2" s="1">
        <v>21.2</v>
      </c>
    </row>
    <row r="3" spans="1:28" x14ac:dyDescent="0.2">
      <c r="A3" s="3" t="s">
        <v>3</v>
      </c>
      <c r="B3" s="1">
        <v>15.0299</v>
      </c>
      <c r="C3" s="1">
        <v>32.97851</v>
      </c>
      <c r="D3" s="1">
        <v>24.004204999999999</v>
      </c>
      <c r="E3" s="2">
        <v>388</v>
      </c>
      <c r="F3" s="1">
        <v>754</v>
      </c>
      <c r="H3" s="2">
        <v>0</v>
      </c>
      <c r="J3" s="1">
        <v>0</v>
      </c>
      <c r="K3" s="1">
        <v>1.3893955208791473</v>
      </c>
      <c r="L3" s="1">
        <v>0</v>
      </c>
      <c r="O3" s="1">
        <v>5.9</v>
      </c>
      <c r="P3" s="1">
        <v>20.8</v>
      </c>
    </row>
    <row r="4" spans="1:28" x14ac:dyDescent="0.2">
      <c r="A4" s="3" t="s">
        <v>4</v>
      </c>
      <c r="B4" s="1">
        <v>13.98222</v>
      </c>
      <c r="C4" s="1">
        <v>31.770859999999999</v>
      </c>
      <c r="D4" s="1">
        <v>22.876539999999999</v>
      </c>
      <c r="E4" s="2">
        <v>355</v>
      </c>
      <c r="F4" s="1">
        <v>1109</v>
      </c>
      <c r="H4" s="2">
        <v>0</v>
      </c>
      <c r="J4" s="1">
        <v>0</v>
      </c>
      <c r="K4" s="1">
        <v>1.4684394690956193</v>
      </c>
      <c r="L4" s="1">
        <v>0</v>
      </c>
      <c r="O4" s="1">
        <v>5.3</v>
      </c>
      <c r="P4" s="1">
        <v>20.7</v>
      </c>
    </row>
    <row r="5" spans="1:28" x14ac:dyDescent="0.2">
      <c r="A5" s="3" t="s">
        <v>5</v>
      </c>
      <c r="B5" s="1">
        <v>11.90466</v>
      </c>
      <c r="C5" s="1">
        <v>29.30368</v>
      </c>
      <c r="D5" s="1">
        <v>20.60417</v>
      </c>
      <c r="E5" s="2">
        <v>290</v>
      </c>
      <c r="F5" s="1">
        <v>1399</v>
      </c>
      <c r="H5" s="2">
        <v>0</v>
      </c>
      <c r="J5" s="1">
        <v>0</v>
      </c>
      <c r="K5" s="1">
        <v>1.6617248766312107</v>
      </c>
      <c r="L5" s="1">
        <v>0</v>
      </c>
      <c r="O5" s="1">
        <v>4.2</v>
      </c>
      <c r="P5" s="1">
        <v>19.399999999999999</v>
      </c>
    </row>
    <row r="6" spans="1:28" x14ac:dyDescent="0.2">
      <c r="A6" s="3" t="s">
        <v>6</v>
      </c>
      <c r="B6" s="1">
        <v>10.434419999999999</v>
      </c>
      <c r="C6" s="1">
        <v>26.663650000000001</v>
      </c>
      <c r="D6" s="1">
        <v>18.549035</v>
      </c>
      <c r="E6" s="2">
        <v>231</v>
      </c>
      <c r="F6" s="1">
        <v>1630</v>
      </c>
      <c r="H6" s="2">
        <v>0.35851791737721173</v>
      </c>
      <c r="J6" s="1">
        <v>0</v>
      </c>
      <c r="K6" s="1">
        <v>1.9298409189194627</v>
      </c>
      <c r="L6" s="1">
        <v>6.1925297203244689E-3</v>
      </c>
      <c r="O6" s="1">
        <v>2.8</v>
      </c>
      <c r="P6" s="1">
        <v>17.399999999999999</v>
      </c>
    </row>
    <row r="7" spans="1:28" x14ac:dyDescent="0.2">
      <c r="A7" s="3" t="s">
        <v>7</v>
      </c>
      <c r="B7" s="1">
        <v>9.4787280000000003</v>
      </c>
      <c r="C7" s="1">
        <v>24.85707</v>
      </c>
      <c r="D7" s="1">
        <v>17.167898999999998</v>
      </c>
      <c r="E7" s="2">
        <v>192</v>
      </c>
      <c r="F7" s="1">
        <v>1822</v>
      </c>
      <c r="H7" s="2">
        <v>3.9331290079584917</v>
      </c>
      <c r="J7" s="1">
        <v>0</v>
      </c>
      <c r="K7" s="1">
        <v>2.1623248160525934</v>
      </c>
      <c r="L7" s="1">
        <v>6.0631177745357867E-2</v>
      </c>
      <c r="O7" s="1">
        <v>1.9</v>
      </c>
      <c r="P7" s="1">
        <v>16</v>
      </c>
    </row>
    <row r="8" spans="1:28" x14ac:dyDescent="0.2">
      <c r="A8" s="3" t="s">
        <v>8</v>
      </c>
      <c r="B8" s="1">
        <v>8.8892969999999991</v>
      </c>
      <c r="C8" s="1">
        <v>24.336500000000001</v>
      </c>
      <c r="D8" s="1">
        <v>16.6128985</v>
      </c>
      <c r="E8" s="1">
        <v>176</v>
      </c>
      <c r="F8" s="1">
        <v>1998</v>
      </c>
      <c r="H8" s="2">
        <v>8.6394084486663285</v>
      </c>
      <c r="J8" s="1">
        <v>0</v>
      </c>
      <c r="K8" s="1">
        <v>2.2385240746008206</v>
      </c>
      <c r="L8" s="1">
        <v>0.12864739088122801</v>
      </c>
      <c r="O8" s="1">
        <v>1.4</v>
      </c>
      <c r="P8" s="1">
        <v>15.5</v>
      </c>
    </row>
    <row r="9" spans="1:28" x14ac:dyDescent="0.2">
      <c r="A9" s="3" t="s">
        <v>9</v>
      </c>
      <c r="B9" s="1">
        <v>9.4279119999999992</v>
      </c>
      <c r="C9" s="1">
        <v>25.840160000000001</v>
      </c>
      <c r="D9" s="1">
        <v>17.634036000000002</v>
      </c>
      <c r="E9" s="1">
        <v>205</v>
      </c>
      <c r="F9" s="1">
        <v>2203</v>
      </c>
      <c r="H9" s="2">
        <v>3.9836638359041516</v>
      </c>
      <c r="J9" s="1">
        <v>0</v>
      </c>
      <c r="K9" s="1">
        <v>2.0300821158828759</v>
      </c>
      <c r="L9" s="1">
        <v>6.5410553342266642E-2</v>
      </c>
      <c r="O9" s="1">
        <v>2.4</v>
      </c>
      <c r="P9" s="1">
        <v>17.2</v>
      </c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</row>
    <row r="10" spans="1:28" x14ac:dyDescent="0.2">
      <c r="A10" s="3" t="s">
        <v>10</v>
      </c>
      <c r="B10" s="1">
        <v>10.060650000000001</v>
      </c>
      <c r="C10" s="1">
        <v>27.163779999999999</v>
      </c>
      <c r="D10" s="1">
        <v>18.612214999999999</v>
      </c>
      <c r="E10" s="1">
        <v>233</v>
      </c>
      <c r="F10" s="1">
        <v>2436</v>
      </c>
      <c r="H10" s="2">
        <v>1.1062896625665672</v>
      </c>
      <c r="J10" s="1">
        <v>0</v>
      </c>
      <c r="K10" s="1">
        <v>1.8731791342256563</v>
      </c>
      <c r="L10" s="1">
        <v>1.9686489888643965E-2</v>
      </c>
      <c r="O10" s="1">
        <v>3</v>
      </c>
      <c r="P10" s="1">
        <v>18.600000000000001</v>
      </c>
    </row>
    <row r="11" spans="1:28" x14ac:dyDescent="0.2">
      <c r="A11" s="3" t="s">
        <v>11</v>
      </c>
      <c r="B11" s="1">
        <v>10.946899999999999</v>
      </c>
      <c r="C11" s="1">
        <v>28.901759999999999</v>
      </c>
      <c r="D11" s="1">
        <v>19.924329999999998</v>
      </c>
      <c r="E11" s="1">
        <v>271</v>
      </c>
      <c r="F11" s="1">
        <v>2707</v>
      </c>
      <c r="H11" s="2">
        <v>0.15549129101824161</v>
      </c>
      <c r="J11" s="1">
        <v>0</v>
      </c>
      <c r="K11" s="1">
        <v>1.6979631840205822</v>
      </c>
      <c r="L11" s="1">
        <v>3.0525061336539316E-3</v>
      </c>
      <c r="O11" s="1">
        <v>3.4</v>
      </c>
      <c r="P11" s="1">
        <v>19.899999999999999</v>
      </c>
    </row>
    <row r="12" spans="1:28" x14ac:dyDescent="0.2">
      <c r="A12" s="3" t="s">
        <v>12</v>
      </c>
      <c r="B12" s="1">
        <v>11.9977</v>
      </c>
      <c r="C12" s="1">
        <v>30.506920000000001</v>
      </c>
      <c r="D12" s="1">
        <v>21.252310000000001</v>
      </c>
      <c r="E12" s="1">
        <v>309</v>
      </c>
      <c r="F12" s="1">
        <v>3016</v>
      </c>
      <c r="H12" s="2">
        <v>0</v>
      </c>
      <c r="J12" s="1">
        <v>0</v>
      </c>
      <c r="K12" s="1">
        <v>1.5615939577896067</v>
      </c>
      <c r="L12" s="1">
        <v>0</v>
      </c>
      <c r="O12" s="1">
        <v>3.6</v>
      </c>
      <c r="P12" s="1">
        <v>20.8</v>
      </c>
    </row>
    <row r="13" spans="1:28" x14ac:dyDescent="0.2">
      <c r="A13" s="3" t="s">
        <v>13</v>
      </c>
      <c r="B13" s="1">
        <v>13.5288</v>
      </c>
      <c r="C13" s="1">
        <v>31.97906</v>
      </c>
      <c r="D13" s="1">
        <v>22.75393</v>
      </c>
      <c r="E13" s="1">
        <v>352</v>
      </c>
      <c r="F13" s="1">
        <v>3368</v>
      </c>
      <c r="H13" s="2">
        <v>0</v>
      </c>
      <c r="J13" s="1">
        <v>0</v>
      </c>
      <c r="K13" s="1">
        <v>1.4541570082546114</v>
      </c>
      <c r="L13" s="1">
        <v>0</v>
      </c>
      <c r="O13" s="1">
        <v>4.8</v>
      </c>
      <c r="P13" s="1">
        <v>21.4</v>
      </c>
    </row>
    <row r="17" spans="1:13" x14ac:dyDescent="0.2">
      <c r="A17" s="1">
        <v>1</v>
      </c>
      <c r="B17" s="1">
        <v>2</v>
      </c>
      <c r="C17" s="1">
        <v>3</v>
      </c>
      <c r="D17" s="1">
        <v>4</v>
      </c>
      <c r="E17" s="1">
        <v>5</v>
      </c>
      <c r="F17" s="1">
        <v>6</v>
      </c>
      <c r="G17" s="1">
        <v>7</v>
      </c>
      <c r="H17" s="1">
        <v>8</v>
      </c>
      <c r="I17" s="1">
        <v>9</v>
      </c>
      <c r="J17" s="1">
        <v>10</v>
      </c>
    </row>
    <row r="18" spans="1:13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</row>
    <row r="19" spans="1:13" s="2" customFormat="1" x14ac:dyDescent="0.2">
      <c r="B19" s="8" t="s">
        <v>2</v>
      </c>
      <c r="C19" s="8" t="s">
        <v>3</v>
      </c>
      <c r="D19" s="8" t="s">
        <v>4</v>
      </c>
      <c r="E19" s="8" t="s">
        <v>5</v>
      </c>
      <c r="F19" s="8" t="s">
        <v>6</v>
      </c>
      <c r="G19" s="8" t="s">
        <v>7</v>
      </c>
      <c r="H19" s="8" t="s">
        <v>8</v>
      </c>
      <c r="I19" s="8" t="s">
        <v>9</v>
      </c>
      <c r="J19" s="8" t="s">
        <v>10</v>
      </c>
      <c r="K19" s="8" t="s">
        <v>11</v>
      </c>
      <c r="L19" s="8" t="s">
        <v>12</v>
      </c>
      <c r="M19" s="8" t="s">
        <v>13</v>
      </c>
    </row>
    <row r="20" spans="1:13" s="2" customFormat="1" x14ac:dyDescent="0.2"/>
    <row r="21" spans="1:13" s="2" customFormat="1" x14ac:dyDescent="0.2">
      <c r="A21" s="9"/>
    </row>
    <row r="22" spans="1:13" s="2" customFormat="1" x14ac:dyDescent="0.2">
      <c r="A22" s="9"/>
    </row>
    <row r="23" spans="1:13" s="2" customFormat="1" x14ac:dyDescent="0.2">
      <c r="A23" s="9"/>
    </row>
    <row r="24" spans="1:13" s="2" customFormat="1" x14ac:dyDescent="0.2">
      <c r="A24" s="9"/>
    </row>
    <row r="25" spans="1:13" s="2" customFormat="1" x14ac:dyDescent="0.2">
      <c r="A25" s="9"/>
    </row>
    <row r="26" spans="1:13" s="2" customFormat="1" x14ac:dyDescent="0.2"/>
    <row r="27" spans="1:13" s="2" customFormat="1" x14ac:dyDescent="0.2"/>
    <row r="28" spans="1:13" s="2" customFormat="1" x14ac:dyDescent="0.2"/>
    <row r="29" spans="1:13" s="2" customFormat="1" x14ac:dyDescent="0.2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1:13" s="2" customFormat="1" x14ac:dyDescent="0.2"/>
    <row r="31" spans="1:13" s="2" customFormat="1" x14ac:dyDescent="0.2"/>
    <row r="32" spans="1:13" s="2" customFormat="1" x14ac:dyDescent="0.2"/>
    <row r="33" spans="2:13" s="2" customFormat="1" x14ac:dyDescent="0.2"/>
    <row r="34" spans="2:13" s="2" customFormat="1" x14ac:dyDescent="0.2"/>
    <row r="35" spans="2:13" s="2" customFormat="1" x14ac:dyDescent="0.2"/>
    <row r="36" spans="2:13" s="2" customFormat="1" x14ac:dyDescent="0.2"/>
    <row r="37" spans="2:13" s="2" customFormat="1" x14ac:dyDescent="0.2"/>
    <row r="38" spans="2:13" s="2" customFormat="1" x14ac:dyDescent="0.2"/>
    <row r="39" spans="2:13" s="2" customFormat="1" x14ac:dyDescent="0.2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2:13" s="2" customFormat="1" x14ac:dyDescent="0.2"/>
    <row r="41" spans="2:13" s="2" customFormat="1" x14ac:dyDescent="0.2"/>
    <row r="42" spans="2:13" s="2" customFormat="1" x14ac:dyDescent="0.2"/>
    <row r="43" spans="2:13" s="2" customFormat="1" x14ac:dyDescent="0.2"/>
    <row r="44" spans="2:13" s="2" customFormat="1" x14ac:dyDescent="0.2"/>
    <row r="45" spans="2:13" s="2" customFormat="1" x14ac:dyDescent="0.2"/>
    <row r="46" spans="2:13" s="2" customFormat="1" x14ac:dyDescent="0.2"/>
    <row r="47" spans="2:13" s="2" customFormat="1" x14ac:dyDescent="0.2"/>
    <row r="48" spans="2:13" s="2" customFormat="1" x14ac:dyDescent="0.2"/>
    <row r="49" spans="2:13" s="2" customFormat="1" x14ac:dyDescent="0.2">
      <c r="B49" s="8" t="s">
        <v>2</v>
      </c>
      <c r="C49" s="8" t="s">
        <v>3</v>
      </c>
      <c r="D49" s="8" t="s">
        <v>4</v>
      </c>
      <c r="E49" s="8" t="s">
        <v>5</v>
      </c>
      <c r="F49" s="8" t="s">
        <v>6</v>
      </c>
      <c r="G49" s="8" t="s">
        <v>7</v>
      </c>
      <c r="H49" s="8" t="s">
        <v>8</v>
      </c>
      <c r="I49" s="8" t="s">
        <v>9</v>
      </c>
      <c r="J49" s="8" t="s">
        <v>10</v>
      </c>
      <c r="K49" s="8" t="s">
        <v>11</v>
      </c>
      <c r="L49" s="8" t="s">
        <v>12</v>
      </c>
      <c r="M49" s="8" t="s">
        <v>13</v>
      </c>
    </row>
    <row r="50" spans="2:13" s="2" customFormat="1" x14ac:dyDescent="0.2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2:13" s="2" customFormat="1" x14ac:dyDescent="0.2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2:13" s="2" customFormat="1" x14ac:dyDescent="0.2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2:13" s="2" customFormat="1" x14ac:dyDescent="0.2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2:13" s="2" customFormat="1" x14ac:dyDescent="0.2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2:13" s="2" customFormat="1" x14ac:dyDescent="0.2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2:13" s="2" customFormat="1" x14ac:dyDescent="0.2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2:13" s="2" customFormat="1" x14ac:dyDescent="0.2"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</row>
    <row r="58" spans="2:13" s="2" customFormat="1" x14ac:dyDescent="0.2"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</row>
    <row r="59" spans="2:13" s="2" customFormat="1" x14ac:dyDescent="0.2"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</row>
    <row r="60" spans="2:13" s="2" customFormat="1" x14ac:dyDescent="0.2"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</row>
    <row r="61" spans="2:13" s="2" customFormat="1" x14ac:dyDescent="0.2"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</row>
    <row r="62" spans="2:13" s="2" customFormat="1" x14ac:dyDescent="0.2"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</row>
    <row r="63" spans="2:13" s="2" customFormat="1" x14ac:dyDescent="0.2"/>
    <row r="64" spans="2:13" s="2" customFormat="1" x14ac:dyDescent="0.2"/>
    <row r="65" s="2" customFormat="1" x14ac:dyDescent="0.2"/>
    <row r="66" s="2" customFormat="1" x14ac:dyDescent="0.2"/>
    <row r="67" s="2" customFormat="1" x14ac:dyDescent="0.2"/>
    <row r="68" s="2" customFormat="1" x14ac:dyDescent="0.2"/>
    <row r="69" s="2" customFormat="1" x14ac:dyDescent="0.2"/>
    <row r="70" s="2" customFormat="1" x14ac:dyDescent="0.2"/>
    <row r="71" s="2" customFormat="1" x14ac:dyDescent="0.2"/>
    <row r="72" s="2" customFormat="1" x14ac:dyDescent="0.2"/>
    <row r="73" s="2" customFormat="1" x14ac:dyDescent="0.2"/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 (2)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Neira</dc:creator>
  <cp:lastModifiedBy>Fernando Neira</cp:lastModifiedBy>
  <dcterms:created xsi:type="dcterms:W3CDTF">2022-10-06T20:16:37Z</dcterms:created>
  <dcterms:modified xsi:type="dcterms:W3CDTF">2022-11-04T00:39:59Z</dcterms:modified>
</cp:coreProperties>
</file>